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Bluestock Internship\Week 2\"/>
    </mc:Choice>
  </mc:AlternateContent>
  <xr:revisionPtr revIDLastSave="0" documentId="13_ncr:1_{55588525-EDDE-4D57-BBB4-04D621662CEB}" xr6:coauthVersionLast="47" xr6:coauthVersionMax="47" xr10:uidLastSave="{00000000-0000-0000-0000-000000000000}"/>
  <bookViews>
    <workbookView xWindow="-108" yWindow="-108" windowWidth="23256" windowHeight="12456" xr2:uid="{C0E95B87-A3CA-4E6C-8C68-228CF8E02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<sst xmlns="http://schemas.openxmlformats.org/spreadsheetml/2006/main" count="15" uniqueCount="15">
  <si>
    <t>Metric</t>
  </si>
  <si>
    <t>FY2025</t>
  </si>
  <si>
    <t>FY2026</t>
  </si>
  <si>
    <t>Revenue (₹ Cr)</t>
  </si>
  <si>
    <t>Operating Profit (₹ Cr)</t>
  </si>
  <si>
    <t>Net Profit (₹ Cr)</t>
  </si>
  <si>
    <t>EPS (₹)</t>
  </si>
  <si>
    <t>Operating Margin (%)</t>
  </si>
  <si>
    <t>Total Assets (₹ Cr)</t>
  </si>
  <si>
    <t>Total Equity (₹ Cr)</t>
  </si>
  <si>
    <t>Cash &amp; Equivalents (₹ Cr)</t>
  </si>
  <si>
    <t>Dividend per Share (₹)</t>
  </si>
  <si>
    <t>ROE (%)</t>
  </si>
  <si>
    <t>P/E Ratio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</si>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</sst>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Infosys Revenue &amp; Net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(Sheet1!$A$2,Sheet1!$A$4)</c:f>
              <c:strCache>
                <c:ptCount val="2"/>
                <c:pt idx="0">
                  <c:v>Revenue (₹ Cr)</c:v>
                </c:pt>
                <c:pt idx="1">
                  <c:v>Net Profit (₹ Cr)</c:v>
                </c:pt>
              </c:strCache>
            </c:strRef>
          </c:cat>
          <c:val>
            <c:numRef>
              <c:f>(Sheet1!$B$2,Sheet1!$B$4)</c:f>
              <c:numCache>
                <c:formatCode>General</c:formatCode>
                <c:ptCount val="2"/>
                <c:pt idx="0">
                  <c:v>162990</c:v>
                </c:pt>
                <c:pt idx="1">
                  <c:v>26713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D-448A-B49D-5E52E82EC4A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FY2026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(Sheet1!$A$2,Sheet1!$A$4)</c:f>
              <c:strCache>
                <c:ptCount val="2"/>
                <c:pt idx="0">
                  <c:v>Revenue (₹ Cr)</c:v>
                </c:pt>
                <c:pt idx="1">
                  <c:v>Net Profit (₹ Cr)</c:v>
                </c:pt>
              </c:strCache>
            </c:strRef>
          </c:cat>
          <c:val>
            <c:numRef>
              <c:f>(Sheet1!$C$2,Sheet1!$C$4)</c:f>
              <c:numCache>
                <c:formatCode>General</c:formatCode>
                <c:ptCount val="2"/>
                <c:pt idx="0">
                  <c:v>178650</c:v>
                </c:pt>
                <c:pt idx="1">
                  <c:v>29440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D-448A-B49D-5E52E82EC4A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Change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(Sheet1!$A$2,Sheet1!$A$4)</c:f>
              <c:strCache>
                <c:ptCount val="2"/>
                <c:pt idx="0">
                  <c:v>Revenue (₹ Cr)</c:v>
                </c:pt>
                <c:pt idx="1">
                  <c:v>Net Profit (₹ Cr)</c:v>
                </c:pt>
              </c:strCache>
            </c:strRef>
          </c:cat>
          <c:val>
            <c:numRef>
              <c:f>(Sheet1!$D$2,Sheet1!$D$4)</c:f>
              <c:numCache>
                <c:formatCode>0.00%</c:formatCode>
                <c:ptCount val="2"/>
                <c:pt idx="0">
                  <c:v>9.6079514080618447E-2</c:v>
                </c:pt>
                <c:pt idx="1">
                  <c:v>0.1020851270916782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D-448A-B49D-5E52E82E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73423"/>
        <c:axId val="28706959"/>
      </c:barChart>
      <c:catAx>
        <c:axId val="2887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6959"/>
        <c:crosses val="autoZero"/>
        <c:auto val="1"/>
        <c:lblAlgn val="ctr"/>
        <c:lblOffset val="100"/>
        <c:noMultiLvlLbl val="0"/>
      </c:catAx>
      <c:valAx>
        <c:axId val="2870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7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Infosys EPS: FY2025 vs FY2026</a:t>
            </a:r>
            <a:endParaRPr lang="en-IN"/>
          </a:p>
        </c:rich>
      </c:tx>
      <c:layout>
        <c:manualLayout>
          <c:xMode val="edge"/>
          <c:yMode val="edge"/>
          <c:x val="0.12505711721268001"/>
          <c:y val="3.90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EPS (₹)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F-434C-9825-9776171021E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FY2026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EPS (₹)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71.58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3F-434C-9825-97761710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51279"/>
        <c:axId val="28715599"/>
      </c:barChart>
      <c:catAx>
        <c:axId val="10695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5599"/>
        <c:crosses val="autoZero"/>
        <c:auto val="1"/>
        <c:lblAlgn val="ctr"/>
        <c:lblOffset val="100"/>
        <c:noMultiLvlLbl val="0"/>
      </c:catAx>
      <c:valAx>
        <c:axId val="287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Infosys Assets &amp; Equity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98067833054053"/>
          <c:y val="0.24628154050464809"/>
          <c:w val="0.79706661381286148"/>
          <c:h val="0.44778628269075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(Sheet1!$A$2,Sheet1!$A$7:$A$8)</c:f>
              <c:strCache>
                <c:ptCount val="3"/>
                <c:pt idx="0">
                  <c:v>Revenue (₹ Cr)</c:v>
                </c:pt>
                <c:pt idx="1">
                  <c:v>Total Assets (₹ Cr)</c:v>
                </c:pt>
                <c:pt idx="2">
                  <c:v>Total Equity (₹ Cr)</c:v>
                </c:pt>
              </c:strCache>
            </c:strRef>
          </c:cat>
          <c:val>
            <c:numRef>
              <c:f>(Sheet1!$B$2,Sheet1!$B$7:$B$8)</c:f>
              <c:numCache>
                <c:formatCode>General</c:formatCode>
                <c:ptCount val="3"/>
                <c:pt idx="0">
                  <c:v>162990</c:v>
                </c:pt>
                <c:pt idx="1">
                  <c:v>148903</c:v>
                </c:pt>
                <c:pt idx="2">
                  <c:v>96203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4-430C-BC32-8C4BCA6BF8D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FY2026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(Sheet1!$A$2,Sheet1!$A$7:$A$8)</c:f>
              <c:strCache>
                <c:ptCount val="3"/>
                <c:pt idx="0">
                  <c:v>Revenue (₹ Cr)</c:v>
                </c:pt>
                <c:pt idx="1">
                  <c:v>Total Assets (₹ Cr)</c:v>
                </c:pt>
                <c:pt idx="2">
                  <c:v>Total Equity (₹ Cr)</c:v>
                </c:pt>
              </c:strCache>
            </c:strRef>
          </c:cat>
          <c:val>
            <c:numRef>
              <c:f>(Sheet1!$C$2,Sheet1!$C$7:$C$8)</c:f>
              <c:numCache>
                <c:formatCode>General</c:formatCode>
                <c:ptCount val="3"/>
                <c:pt idx="0">
                  <c:v>178650</c:v>
                </c:pt>
                <c:pt idx="1">
                  <c:v>155967</c:v>
                </c:pt>
                <c:pt idx="2">
                  <c:v>93297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4-430C-BC32-8C4BCA6BF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548319"/>
        <c:axId val="28756399"/>
      </c:barChart>
      <c:catAx>
        <c:axId val="26254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6399"/>
        <c:crosses val="autoZero"/>
        <c:auto val="1"/>
        <c:lblAlgn val="ctr"/>
        <c:lblOffset val="100"/>
        <c:noMultiLvlLbl val="0"/>
      </c:catAx>
      <c:valAx>
        <c:axId val="287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4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0</xdr:row>
      <xdr:rowOff>91440</xdr:rowOff>
    </xdr:from>
    <xdr:to>
      <xdr:col>9</xdr:col>
      <xdr:colOff>220980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C01D0-3229-7D05-E575-F14A62695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358140</xdr:colOff>
      <xdr:row>0</xdr:row>
      <xdr:rowOff>91440</xdr:rowOff>
    </xdr:from>
    <xdr:to>
      <xdr:col>14</xdr:col>
      <xdr:colOff>289560</xdr:colOff>
      <xdr:row>11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21CCFF-36D6-5F18-A5F6-484213CA5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388620</xdr:colOff>
      <xdr:row>0</xdr:row>
      <xdr:rowOff>99060</xdr:rowOff>
    </xdr:from>
    <xdr:to>
      <xdr:col>19</xdr:col>
      <xdr:colOff>579120</xdr:colOff>
      <xdr:row>12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5EDF98-0BF9-20F4-4E17-5FD90462A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EF277-14AE-4665-9627-C4D04512840B}" name="Table1" displayName="Table1" ref="A1:D12" totalsRowShown="0" headerRowDxfId="1" dataDxfId="0">
  <autoFilter ref="A1:D12" xr:uid="{D95EF277-14AE-4665-9627-C4D04512840B}"/>
  <tableColumns count="4">
    <tableColumn id="1" xr3:uid="{8958F132-0D07-4BE2-B311-DFD85AF3C95A}" name="Metric" dataDxfId="5"/>
    <tableColumn id="2" xr3:uid="{5E59EEF6-C72A-4D3B-942B-F41B868207E2}" name="FY2025" dataDxfId="4"/>
    <tableColumn id="3" xr3:uid="{19B4EEE1-7913-4C66-850E-DB96EEE85BA1}" name="FY2026" dataDxfId="3"/>
    <tableColumn id="4" xr3:uid="{8FE590E4-2234-4655-B51E-841309D7756C}" name="Change" dataDxfId="2">
      <calculatedColumnFormula>(C2-B2)/B2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7EE6-4A09-4913-9BF8-5F030FF7FE36}">
  <dimension ref="A1:D12"/>
  <sheetViews>
    <sheetView tabSelected="1" workbookViewId="0">
      <selection activeCell="R16" sqref="R16"/>
    </sheetView>
  </sheetViews>
  <sheetFormatPr defaultRowHeight="14.4" x14ac:dyDescent="0.3"/>
  <cols>
    <col min="1" max="1" width="21.44140625" customWidth="1"/>
    <col min="2" max="3" width="8.777343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14</v>
      </c>
    </row>
    <row r="2" spans="1:4" ht="15.6" x14ac:dyDescent="0.3">
      <c r="A2" s="1" t="s">
        <v>3</v>
      </c>
      <c r="B2" s="1">
        <v>162990</v>
      </c>
      <c r="C2" s="1">
        <v>178650</v>
      </c>
      <c r="D2" s="2">
        <f>(C2-B2)/B2</f>
        <v>9.6079514080618447E-2</v>
      </c>
    </row>
    <row r="3" spans="1:4" ht="15.6" x14ac:dyDescent="0.3">
      <c r="A3" s="1" t="s">
        <v>4</v>
      </c>
      <c r="B3" s="1">
        <v>34424</v>
      </c>
      <c r="C3" s="1">
        <v>36254</v>
      </c>
      <c r="D3" s="2">
        <f t="shared" ref="D3:D12" si="0">(C3-B3)/B3</f>
        <v>5.3160585637927027E-2</v>
      </c>
    </row>
    <row r="4" spans="1:4" ht="15.6" x14ac:dyDescent="0.3">
      <c r="A4" s="1" t="s">
        <v>5</v>
      </c>
      <c r="B4" s="1">
        <v>26713</v>
      </c>
      <c r="C4" s="1">
        <v>29440</v>
      </c>
      <c r="D4" s="2">
        <f t="shared" si="0"/>
        <v>0.1020851270916782</v>
      </c>
    </row>
    <row r="5" spans="1:4" ht="15.6" x14ac:dyDescent="0.3">
      <c r="A5" s="1" t="s">
        <v>6</v>
      </c>
      <c r="B5" s="1">
        <v>64.5</v>
      </c>
      <c r="C5" s="1">
        <v>71.58</v>
      </c>
      <c r="D5" s="2">
        <f t="shared" si="0"/>
        <v>0.1097674418604651</v>
      </c>
    </row>
    <row r="6" spans="1:4" ht="15.6" x14ac:dyDescent="0.3">
      <c r="A6" s="1" t="s">
        <v>7</v>
      </c>
      <c r="B6" s="1">
        <v>21.1</v>
      </c>
      <c r="C6" s="1">
        <v>20.3</v>
      </c>
      <c r="D6" s="2">
        <f t="shared" si="0"/>
        <v>-3.7914691943127993E-2</v>
      </c>
    </row>
    <row r="7" spans="1:4" ht="15.6" x14ac:dyDescent="0.3">
      <c r="A7" s="1" t="s">
        <v>8</v>
      </c>
      <c r="B7" s="1">
        <v>148903</v>
      </c>
      <c r="C7" s="1">
        <v>155967</v>
      </c>
      <c r="D7" s="2">
        <f t="shared" si="0"/>
        <v>4.7440279913769368E-2</v>
      </c>
    </row>
    <row r="8" spans="1:4" ht="15.6" x14ac:dyDescent="0.3">
      <c r="A8" s="1" t="s">
        <v>9</v>
      </c>
      <c r="B8" s="1">
        <v>96203</v>
      </c>
      <c r="C8" s="1">
        <v>93297</v>
      </c>
      <c r="D8" s="2">
        <f t="shared" si="0"/>
        <v>-3.0206958202966643E-2</v>
      </c>
    </row>
    <row r="9" spans="1:4" ht="15.6" x14ac:dyDescent="0.3">
      <c r="A9" s="1" t="s">
        <v>10</v>
      </c>
      <c r="B9" s="1">
        <v>24455</v>
      </c>
      <c r="C9" s="1">
        <v>22201</v>
      </c>
      <c r="D9" s="2">
        <f t="shared" si="0"/>
        <v>-9.2169290533633208E-2</v>
      </c>
    </row>
    <row r="10" spans="1:4" ht="15.6" x14ac:dyDescent="0.3">
      <c r="A10" s="1" t="s">
        <v>11</v>
      </c>
      <c r="B10" s="1">
        <v>43</v>
      </c>
      <c r="C10" s="1">
        <v>48</v>
      </c>
      <c r="D10" s="2">
        <f t="shared" si="0"/>
        <v>0.11627906976744186</v>
      </c>
    </row>
    <row r="11" spans="1:4" ht="15.6" x14ac:dyDescent="0.3">
      <c r="A11" s="1" t="s">
        <v>12</v>
      </c>
      <c r="B11" s="1">
        <v>29</v>
      </c>
      <c r="C11" s="1">
        <v>31.6</v>
      </c>
      <c r="D11" s="2">
        <f t="shared" si="0"/>
        <v>8.9655172413793158E-2</v>
      </c>
    </row>
    <row r="12" spans="1:4" ht="15.6" x14ac:dyDescent="0.3">
      <c r="A12" s="1" t="s">
        <v>13</v>
      </c>
      <c r="B12" s="1">
        <v>24.4</v>
      </c>
      <c r="C12" s="1">
        <v>17.5</v>
      </c>
      <c r="D12" s="2">
        <f t="shared" si="0"/>
        <v>-0.28278688524590162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babasaheb bhosale</dc:creator>
  <cp:lastModifiedBy>babasaheb bhosale</cp:lastModifiedBy>
  <dcterms:created xsi:type="dcterms:W3CDTF">2026-09-16T17:25:19Z</dcterms:created>
  <dcterms:modified xsi:type="dcterms:W3CDTF">2026-09-16T17:45:03Z</dcterms:modified>
</cp:coreProperties>
</file>